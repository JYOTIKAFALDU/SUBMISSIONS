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MapUp-Data-Assessment-F-main\MapUp-Data-Assessment-F-main\"/>
    </mc:Choice>
  </mc:AlternateContent>
  <bookViews>
    <workbookView xWindow="0" yWindow="0" windowWidth="20490" windowHeight="9045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0" l="1"/>
  <c r="C22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2" i="15"/>
  <c r="H42" i="1"/>
  <c r="B28" i="18" l="1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<sst xmlns="http://schemas.openxmlformats.org/spreadsheetml/2006/main" count="403" uniqueCount="180">
  <si>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</si>
  <si>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</si>
  <si>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</si>
  <si>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</si>
  <si>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</si>
  <si>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</si>
  <si>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</si>
  <si>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</si>
  <si>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</si>
  <si>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</si>
  <si>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</si>
  <si>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</si>
  <si>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</si>
  <si>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</si>
  <si>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</si>
  <si>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</si>
  <si>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</si>
  <si>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</si>
  <si>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</si>
  <si>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</si>
  <si>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</si>
  <si>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</si>
  <si>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</si>
  <si>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</si>
  <si>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</si>
  <si>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</si>
  <si>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</si>
  <si>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</si>
  <si>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</si>
  <si>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</si>
  <si>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</si>
  <si>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</si>
  <si>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</si>
  <si>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</si>
  <si>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</si>
  <si>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</si>
  <si>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</si>
  <si>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</si>
  <si>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</si>
  <si>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</si>
  <si>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</si>
  <si>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</si>
  <si>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</si>
  <si>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</si>
  <si>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</si>
  <si>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</si>
  <si>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</si>
  <si>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</si>
  <si>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</si>
  <si>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</si>
  <si>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</si>
  <si>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</si>
  <si>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</si>
  <si>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</si>
  <si>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</si>
  <si>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</si>
  <si>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</si>
  <si>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</si>
  <si>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</si>
  <si>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</si>
  <si>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</si>
  <si>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</si>
  <si>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</si>
  <si>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</si>
  <si>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</si>
  <si>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</si>
  <si>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</si>
  <si>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</si>
  <si>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</si>
  <si>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</si>
  <si>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</si>
  <si>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</si>
  <si>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</si>
  <si>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</si>
  <si>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</si>
  <si>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</si>
  <si>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</si>
  <si>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</si>
  <si>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</si>
  <si>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</si>
  <si>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</si>
  <si>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</si>
  <si>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</si>
  <si>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</si>
  <si>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</si>
  <si>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</si>
  <si>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</si>
  <si>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</si>
  <si>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</si>
  <si>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</si>
  <si>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</si>
  <si>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</si>
  <si>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</si>
  <si>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</si>
  <si>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</si>
  <si>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</si>
  <si>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</si>
  <si>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</si>
  <si>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</si>
  <si>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</si>
  <si>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</si>
  <si>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</si>
  <si>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</si>
  <si>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</si>
  <si>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</si>
  <si>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</si>
  <si>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</si>
  <si>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</si>
  <si>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</si>
  <si>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</si>
  <si>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</si>
  <si>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</si>
  <si>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</si>
  <si>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</si>
  <si>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</si>
  <si>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</si>
  <si>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</si>
  <si>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</si>
  <si>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</si>
  <si>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</si>
  <si>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</si>
  <si>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</si>
  <si>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</si>
  <si>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</si>
  <si>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</si>
  <si>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</si>
  <si>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</si>
  <si>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</si>
  <si>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</si>
  <si>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</si>
  <si>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</si>
  <si>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</si>
  <si>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</si>
  <si>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</si>
  <si>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</si>
  <si>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</si>
  <si>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</si>
  <si>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</si>
  <si>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</si>
  <si>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</si>
  <si>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</si>
  <si>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</si>
  <si>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</si>
  <si>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</si>
  <si>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</si>
  <si>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</si>
  <si>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</si>
  <si>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</si>
  <si>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</si>
  <si>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</si>
  <si>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</si>
  <si>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</si>
  <si>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</si>
  <si>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</si>
  <si>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</si>
  <si>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</si>
  <si>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</si>
  <si>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</si>
  <si>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</si>
  <si>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</si>
  <si>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</si>
  <si>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</si>
  <si>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</si>
  <si>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</si>
  <si>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</si>
  <si>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</si>
  <si>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</si>
  <si>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</si>
  <si>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</si>
  <si>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</si>
  <si>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</si>
  <si>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</si>
  <si>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</si>
  <si>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</si>
  <si>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</si>
  <si>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</si>
  <si>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</si>
  <si>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=SUMIFS(RANGE OF SALES, RANGE OF SALES, "&lt;&gt;#N/A")</t>
  </si>
  <si>
    <t>SUMIFS FORMULA COUNT ALL THE VALUE FROM THE SELECTED RANGE WHICH IS NOT EQAL TO #N/A</t>
  </si>
  <si>
    <t>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</si>
</sst>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m/d/yyyy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theme="9"/>
      </font>
      <fill>
        <patternFill patternType="none">
          <fgColor indexed="64"/>
          <bgColor auto="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abSelected="1" topLeftCell="P1" zoomScaleNormal="100" workbookViewId="0">
      <pane ySplit="1" topLeftCell="A2" activePane="bottomLeft" state="frozen"/>
      <selection pane="bottomLeft" activeCell="X1" sqref="X1:X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.832031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25">
      <c r="H42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topLeftCell="A2"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SUMIF(H2:H40, 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2" spans="8:8" x14ac:dyDescent="0.25">
      <c r="H42" s="1" t="b">
        <f>Task_1!C5=SUMIF(H2:H40, 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6" zoomScaleNormal="100" workbookViewId="0">
      <selection activeCell="F31" sqref="F31"/>
    </sheetView>
  </sheetViews>
  <sheetFormatPr defaultColWidth="11" defaultRowHeight="12.75" x14ac:dyDescent="0.2"/>
  <cols>
    <col min="1" max="1" width="25.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VLOOKUP(A6,Dataset!A1:G40,7,FALSE)</f>
        <v>2.7</v>
      </c>
      <c r="C6" s="12">
        <f>VLOOKUP(A6,Dataset!A1:N40,14,FALSE)</f>
        <v>7.6</v>
      </c>
      <c r="D6" s="12">
        <f>VLOOKUP(A6,Dataset!A1:R40,18,FALSE)</f>
        <v>4.2</v>
      </c>
      <c r="E6" s="12">
        <f>VLOOKUP(A6,Dataset!A1:T40,20,FALSE)</f>
        <v>8.9</v>
      </c>
      <c r="F6" s="8">
        <f>VLOOKUP(A6,Dataset!A1:V40,22,FALSE)</f>
        <v>4.2</v>
      </c>
    </row>
    <row r="7" spans="1:7" ht="15" x14ac:dyDescent="0.25">
      <c r="A7" s="7" t="s">
        <v>4</v>
      </c>
      <c r="B7" s="12">
        <f>VLOOKUP(A7,Dataset!A2:G41,7,FALSE)</f>
        <v>2.7</v>
      </c>
      <c r="C7" s="12">
        <f>VLOOKUP(A7,Dataset!A2:N41,14,FALSE)</f>
        <v>7.6</v>
      </c>
      <c r="D7" s="12">
        <f>VLOOKUP(A7,Dataset!A2:R41,18,FALSE)</f>
        <v>4.2</v>
      </c>
      <c r="E7" s="12">
        <f>VLOOKUP(A7,Dataset!A2:T41,20,FALSE)</f>
        <v>8.9</v>
      </c>
      <c r="F7" s="8">
        <f>VLOOKUP(A7,Dataset!A2:V41,22,FALSE)</f>
        <v>4.2</v>
      </c>
    </row>
    <row r="8" spans="1:7" ht="15" x14ac:dyDescent="0.25">
      <c r="A8" s="7" t="s">
        <v>7</v>
      </c>
      <c r="B8" s="12">
        <f>VLOOKUP(A8,Dataset!A3:G42,7,FALSE)</f>
        <v>3.6</v>
      </c>
      <c r="C8" s="12">
        <f>VLOOKUP(A8,Dataset!A3:N42,14,FALSE)</f>
        <v>11.1</v>
      </c>
      <c r="D8" s="12">
        <f>VLOOKUP(A8,Dataset!A3:R42,18,FALSE)</f>
        <v>5.8</v>
      </c>
      <c r="E8" s="12">
        <f>VLOOKUP(A8,Dataset!A3:T42,20,FALSE)</f>
        <v>12.2</v>
      </c>
      <c r="F8" s="8">
        <f>VLOOKUP(A8,Dataset!A3:V42,22,FALSE)</f>
        <v>5.8</v>
      </c>
    </row>
    <row r="9" spans="1:7" ht="15" x14ac:dyDescent="0.25">
      <c r="A9" s="7" t="s">
        <v>8</v>
      </c>
      <c r="B9" s="12">
        <f>VLOOKUP(A9,Dataset!A4:G43,7,FALSE)</f>
        <v>4.9000000000000004</v>
      </c>
      <c r="C9" s="12">
        <f>VLOOKUP(A9,Dataset!A4:N43,14,FALSE)</f>
        <v>13.3</v>
      </c>
      <c r="D9" s="12">
        <f>VLOOKUP(A9,Dataset!A4:R43,18,FALSE)</f>
        <v>8.1</v>
      </c>
      <c r="E9" s="12">
        <f>VLOOKUP(A9,Dataset!A4:T43,20,FALSE)</f>
        <v>17</v>
      </c>
      <c r="F9" s="8">
        <f>VLOOKUP(A9,Dataset!A4:V43,22,FALSE)</f>
        <v>8.1</v>
      </c>
    </row>
    <row r="10" spans="1:7" ht="15" x14ac:dyDescent="0.25">
      <c r="A10" s="7" t="s">
        <v>11</v>
      </c>
      <c r="B10" s="12">
        <f>VLOOKUP(A10,Dataset!A5:G44,7,FALSE)</f>
        <v>9.4</v>
      </c>
      <c r="C10" s="12">
        <f>VLOOKUP(A10,Dataset!A5:N44,14,FALSE)</f>
        <v>28.3</v>
      </c>
      <c r="D10" s="12">
        <f>VLOOKUP(A10,Dataset!A5:R44,18,FALSE)</f>
        <v>16.100000000000001</v>
      </c>
      <c r="E10" s="12">
        <f>VLOOKUP(A10,Dataset!A5:T44,20,FALSE)</f>
        <v>32.799999999999997</v>
      </c>
      <c r="F10" s="8">
        <f>VLOOKUP(A10,Dataset!A5:V44,22,FALSE)</f>
        <v>16.100000000000001</v>
      </c>
    </row>
    <row r="11" spans="1:7" ht="15" x14ac:dyDescent="0.25">
      <c r="A11" s="7" t="s">
        <v>12</v>
      </c>
      <c r="B11" s="12">
        <f>VLOOKUP(A11,Dataset!A6:G45,7,FALSE)</f>
        <v>11.6</v>
      </c>
      <c r="C11" s="12">
        <f>VLOOKUP(A11,Dataset!A6:N45,14,FALSE)</f>
        <v>35.200000000000003</v>
      </c>
      <c r="D11" s="12">
        <f>VLOOKUP(A11,Dataset!A6:R45,18,FALSE)</f>
        <v>21.3</v>
      </c>
      <c r="E11" s="12">
        <f>VLOOKUP(A11,Dataset!A6:T45,20,FALSE)</f>
        <v>43</v>
      </c>
      <c r="F11" s="8">
        <f>VLOOKUP(A11,Dataset!A6:V45,22,FALSE)</f>
        <v>21.3</v>
      </c>
    </row>
    <row r="12" spans="1:7" ht="15" x14ac:dyDescent="0.25">
      <c r="A12" s="7" t="s">
        <v>14</v>
      </c>
      <c r="B12" s="12">
        <f>VLOOKUP(A12,Dataset!A7:G46,7,FALSE)</f>
        <v>18.399999999999999</v>
      </c>
      <c r="C12" s="12">
        <f>VLOOKUP(A12,Dataset!A7:N46,14,FALSE)</f>
        <v>55.6</v>
      </c>
      <c r="D12" s="12">
        <f>VLOOKUP(A12,Dataset!A7:R46,18,FALSE)</f>
        <v>33.799999999999997</v>
      </c>
      <c r="E12" s="12">
        <f>VLOOKUP(A12,Dataset!A7:T46,20,FALSE)</f>
        <v>67.900000000000006</v>
      </c>
      <c r="F12" s="8">
        <f>VLOOKUP(A12,Dataset!A7:V46,22,FALSE)</f>
        <v>33.799999999999997</v>
      </c>
    </row>
    <row r="13" spans="1:7" ht="15" x14ac:dyDescent="0.25">
      <c r="A13" s="7" t="s">
        <v>15</v>
      </c>
      <c r="B13" s="12">
        <f>VLOOKUP(A13,Dataset!A8:G47,7,FALSE)</f>
        <v>0</v>
      </c>
      <c r="C13" s="12">
        <f>VLOOKUP(A13,Dataset!A8:N47,14,FALSE)</f>
        <v>0</v>
      </c>
      <c r="D13" s="12">
        <f>VLOOKUP(A13,Dataset!A8:R47,18,FALSE)</f>
        <v>0</v>
      </c>
      <c r="E13" s="12">
        <f>VLOOKUP(A13,Dataset!A8:T47,20,FALSE)</f>
        <v>0</v>
      </c>
      <c r="F13" s="8">
        <f>VLOOKUP(A13,Dataset!A8:V47,22,FALSE)</f>
        <v>0</v>
      </c>
    </row>
    <row r="14" spans="1:7" ht="15" x14ac:dyDescent="0.25">
      <c r="A14" s="7" t="s">
        <v>16</v>
      </c>
      <c r="B14" s="12">
        <f>VLOOKUP(A14,Dataset!A9:G48,7,FALSE)</f>
        <v>21.9</v>
      </c>
      <c r="C14" s="12">
        <f>VLOOKUP(A14,Dataset!A9:N48,14,FALSE)</f>
        <v>61.5</v>
      </c>
      <c r="D14" s="12">
        <f>VLOOKUP(A14,Dataset!A9:R48,18,FALSE)</f>
        <v>40.1</v>
      </c>
      <c r="E14" s="12">
        <f>VLOOKUP(A14,Dataset!A9:T48,20,FALSE)</f>
        <v>76.599999999999994</v>
      </c>
      <c r="F14" s="8">
        <f>VLOOKUP(A14,Dataset!A9:V48,22,FALSE)</f>
        <v>40.1</v>
      </c>
    </row>
    <row r="15" spans="1:7" ht="15" x14ac:dyDescent="0.25">
      <c r="A15" s="7" t="s">
        <v>18</v>
      </c>
      <c r="B15" s="12">
        <f>VLOOKUP(A15,Dataset!A10:G49,7,FALSE)</f>
        <v>26.8</v>
      </c>
      <c r="C15" s="12">
        <f>VLOOKUP(A15,Dataset!A10:N49,14,FALSE)</f>
        <v>79.599999999999994</v>
      </c>
      <c r="D15" s="12">
        <f>VLOOKUP(A15,Dataset!A10:R49,18,FALSE)</f>
        <v>47.9</v>
      </c>
      <c r="E15" s="12">
        <f>VLOOKUP(A15,Dataset!A10:T49,20,FALSE)</f>
        <v>96.8</v>
      </c>
      <c r="F15" s="8">
        <f>VLOOKUP(A15,Dataset!A10:V49,22,FALSE)</f>
        <v>47.9</v>
      </c>
    </row>
    <row r="16" spans="1:7" ht="15" x14ac:dyDescent="0.25">
      <c r="A16" s="7" t="s">
        <v>20</v>
      </c>
      <c r="B16" s="12">
        <f>VLOOKUP(A16,Dataset!A11:G50,7,FALSE)</f>
        <v>28.5</v>
      </c>
      <c r="C16" s="12">
        <f>VLOOKUP(A16,Dataset!A11:N50,14,FALSE)</f>
        <v>85.4</v>
      </c>
      <c r="D16" s="12">
        <f>VLOOKUP(A16,Dataset!A11:R50,18,FALSE)</f>
        <v>52.3</v>
      </c>
      <c r="E16" s="12">
        <f>VLOOKUP(A16,Dataset!A11:T50,20,FALSE)</f>
        <v>106.1</v>
      </c>
      <c r="F16" s="8">
        <f>VLOOKUP(A16,Dataset!A11:V50,22,FALSE)</f>
        <v>52.3</v>
      </c>
    </row>
    <row r="17" spans="1:6" ht="15" x14ac:dyDescent="0.25">
      <c r="A17" s="7" t="s">
        <v>22</v>
      </c>
      <c r="B17" s="12">
        <f>VLOOKUP(A17,Dataset!A12:G51,7,FALSE)</f>
        <v>30.7</v>
      </c>
      <c r="C17" s="12">
        <f>VLOOKUP(A17,Dataset!A12:N51,14,FALSE)</f>
        <v>92.1</v>
      </c>
      <c r="D17" s="12">
        <f>VLOOKUP(A17,Dataset!A12:R51,18,FALSE)</f>
        <v>57</v>
      </c>
      <c r="E17" s="12">
        <f>VLOOKUP(A17,Dataset!A12:T51,20,FALSE)</f>
        <v>115.1</v>
      </c>
      <c r="F17" s="8">
        <f>VLOOKUP(A17,Dataset!A12:V51,22,FALSE)</f>
        <v>57</v>
      </c>
    </row>
    <row r="18" spans="1:6" ht="15" x14ac:dyDescent="0.25">
      <c r="A18" s="7" t="s">
        <v>23</v>
      </c>
      <c r="B18" s="12">
        <f>VLOOKUP(A18,Dataset!A13:G52,7,FALSE)</f>
        <v>33.799999999999997</v>
      </c>
      <c r="C18" s="12">
        <f>VLOOKUP(A18,Dataset!A13:N52,14,FALSE)</f>
        <v>101.3</v>
      </c>
      <c r="D18" s="12">
        <f>VLOOKUP(A18,Dataset!A13:R52,18,FALSE)</f>
        <v>61.4</v>
      </c>
      <c r="E18" s="12">
        <f>VLOOKUP(A18,Dataset!A13:T52,20,FALSE)</f>
        <v>124.4</v>
      </c>
      <c r="F18" s="8">
        <f>VLOOKUP(A18,Dataset!A13:V52,22,FALSE)</f>
        <v>61.4</v>
      </c>
    </row>
    <row r="19" spans="1:6" ht="15" x14ac:dyDescent="0.25">
      <c r="A19" s="7" t="s">
        <v>24</v>
      </c>
      <c r="B19" s="12">
        <f>VLOOKUP(A19,Dataset!A14:G53,7,FALSE)</f>
        <v>34.700000000000003</v>
      </c>
      <c r="C19" s="12">
        <f>VLOOKUP(A19,Dataset!A14:N53,14,FALSE)</f>
        <v>106.1</v>
      </c>
      <c r="D19" s="12">
        <f>VLOOKUP(A19,Dataset!A14:R53,18,FALSE)</f>
        <v>63.6</v>
      </c>
      <c r="E19" s="12">
        <f>VLOOKUP(A19,Dataset!A14:T53,20,FALSE)</f>
        <v>128.6</v>
      </c>
      <c r="F19" s="8">
        <f>VLOOKUP(A19,Dataset!A14:V53,22,FALSE)</f>
        <v>63.6</v>
      </c>
    </row>
    <row r="20" spans="1:6" ht="15" x14ac:dyDescent="0.25">
      <c r="A20" s="7" t="s">
        <v>28</v>
      </c>
      <c r="B20" s="12">
        <f>VLOOKUP(A20,Dataset!A15:G54,7,FALSE)</f>
        <v>0</v>
      </c>
      <c r="C20" s="12">
        <f>VLOOKUP(A20,Dataset!A15:N54,14,FALSE)</f>
        <v>0</v>
      </c>
      <c r="D20" s="12">
        <f>VLOOKUP(A20,Dataset!A15:R54,18,FALSE)</f>
        <v>0</v>
      </c>
      <c r="E20" s="12">
        <f>VLOOKUP(A20,Dataset!A15:T54,20,FALSE)</f>
        <v>0</v>
      </c>
      <c r="F20" s="8">
        <f>VLOOKUP(A20,Dataset!A15:V54,22,FALSE)</f>
        <v>0</v>
      </c>
    </row>
    <row r="21" spans="1:6" ht="15" x14ac:dyDescent="0.25">
      <c r="A21" s="7" t="s">
        <v>57</v>
      </c>
      <c r="B21" s="12">
        <f>VLOOKUP(A21,Dataset!A16:G55,7,FALSE)</f>
        <v>41.3</v>
      </c>
      <c r="C21" s="12">
        <f>VLOOKUP(A21,Dataset!A16:N55,14,FALSE)</f>
        <v>124.4</v>
      </c>
      <c r="D21" s="12">
        <f>VLOOKUP(A21,Dataset!A16:R55,18,FALSE)</f>
        <v>75</v>
      </c>
      <c r="E21" s="12">
        <f>VLOOKUP(A21,Dataset!A16:T55,20,FALSE)</f>
        <v>151.5</v>
      </c>
      <c r="F21" s="8">
        <f>VLOOKUP(A21,Dataset!A16:V55,22,FALSE)</f>
        <v>75</v>
      </c>
    </row>
    <row r="22" spans="1:6" ht="15" x14ac:dyDescent="0.25">
      <c r="A22" s="7" t="s">
        <v>58</v>
      </c>
      <c r="B22" s="12">
        <f>VLOOKUP(A22,Dataset!A17:G56,7,FALSE)</f>
        <v>-1</v>
      </c>
      <c r="C22" s="12">
        <f>VLOOKUP(A22,Dataset!A17:N56,14,FALSE)</f>
        <v>-1</v>
      </c>
      <c r="D22" s="12">
        <f>VLOOKUP(A22,Dataset!A17:R56,18,FALSE)</f>
        <v>-1</v>
      </c>
      <c r="E22" s="12">
        <f>VLOOKUP(A22,Dataset!A17:T56,20,FALSE)</f>
        <v>-1</v>
      </c>
      <c r="F22" s="8">
        <f>VLOOKUP(A22,Dataset!A17:V56,22,FALSE)</f>
        <v>-1</v>
      </c>
    </row>
    <row r="23" spans="1:6" ht="15" x14ac:dyDescent="0.25">
      <c r="A23" s="7" t="s">
        <v>31</v>
      </c>
      <c r="B23" s="12">
        <f>VLOOKUP(A23,Dataset!A18:G57,7,FALSE)</f>
        <v>45</v>
      </c>
      <c r="C23" s="12">
        <f>VLOOKUP(A23,Dataset!A18:N57,14,FALSE)</f>
        <v>133.4</v>
      </c>
      <c r="D23" s="12">
        <f>VLOOKUP(A23,Dataset!A18:R57,18,FALSE)</f>
        <v>79.400000000000006</v>
      </c>
      <c r="E23" s="12">
        <f>VLOOKUP(A23,Dataset!A18:T57,20,FALSE)</f>
        <v>160.9</v>
      </c>
      <c r="F23" s="8">
        <f>VLOOKUP(A23,Dataset!A18:V57,22,FALSE)</f>
        <v>79.400000000000006</v>
      </c>
    </row>
    <row r="24" spans="1:6" ht="15" x14ac:dyDescent="0.25">
      <c r="A24" s="7" t="s">
        <v>32</v>
      </c>
      <c r="B24" s="12">
        <f>VLOOKUP(A24,Dataset!A19:G58,7,FALSE)</f>
        <v>-1</v>
      </c>
      <c r="C24" s="12">
        <f>VLOOKUP(A24,Dataset!A19:N58,14,FALSE)</f>
        <v>-1</v>
      </c>
      <c r="D24" s="12">
        <f>VLOOKUP(A24,Dataset!A19:R58,18,FALSE)</f>
        <v>-1</v>
      </c>
      <c r="E24" s="12">
        <f>VLOOKUP(A24,Dataset!A19:T58,20,FALSE)</f>
        <v>-1</v>
      </c>
      <c r="F24" s="8">
        <f>VLOOKUP(A24,Dataset!A19:V58,22,FALSE)</f>
        <v>-1</v>
      </c>
    </row>
    <row r="25" spans="1:6" ht="15" x14ac:dyDescent="0.25">
      <c r="A25" s="7" t="s">
        <v>34</v>
      </c>
      <c r="B25" s="12">
        <f>VLOOKUP(A25,Dataset!A20:G59,7,FALSE)</f>
        <v>43.3</v>
      </c>
      <c r="C25" s="12">
        <f>VLOOKUP(A25,Dataset!A20:N59,14,FALSE)</f>
        <v>128.6</v>
      </c>
      <c r="D25" s="12">
        <f>VLOOKUP(A25,Dataset!A20:R59,18,FALSE)</f>
        <v>79.400000000000006</v>
      </c>
      <c r="E25" s="12">
        <f>VLOOKUP(A25,Dataset!A20:T59,20,FALSE)</f>
        <v>160.9</v>
      </c>
      <c r="F25" s="8">
        <f>VLOOKUP(A25,Dataset!A20:V59,22,FALSE)</f>
        <v>79.400000000000006</v>
      </c>
    </row>
    <row r="26" spans="1:6" ht="15" x14ac:dyDescent="0.25">
      <c r="A26" s="7" t="s">
        <v>37</v>
      </c>
      <c r="B26" s="12">
        <f>VLOOKUP(A26,Dataset!A21:G60,7,FALSE)</f>
        <v>49.1</v>
      </c>
      <c r="C26" s="12">
        <f>VLOOKUP(A26,Dataset!A21:N60,14,FALSE)</f>
        <v>146.80000000000001</v>
      </c>
      <c r="D26" s="12">
        <f>VLOOKUP(A26,Dataset!A21:R60,18,FALSE)</f>
        <v>90.9</v>
      </c>
      <c r="E26" s="12">
        <f>VLOOKUP(A26,Dataset!A21:T60,20,FALSE)</f>
        <v>183.5</v>
      </c>
      <c r="F26" s="8">
        <f>VLOOKUP(A26,Dataset!A21:V60,22,FALSE)</f>
        <v>90.9</v>
      </c>
    </row>
    <row r="27" spans="1:6" ht="15" x14ac:dyDescent="0.25">
      <c r="A27" s="7" t="s">
        <v>39</v>
      </c>
      <c r="B27" s="12">
        <f>VLOOKUP(A27,Dataset!A22:G61,7,FALSE)</f>
        <v>51.8</v>
      </c>
      <c r="C27" s="12">
        <f>VLOOKUP(A27,Dataset!A22:N61,14,FALSE)</f>
        <v>156.4</v>
      </c>
      <c r="D27" s="12">
        <f>VLOOKUP(A27,Dataset!A22:R61,18,FALSE)</f>
        <v>93.1</v>
      </c>
      <c r="E27" s="12">
        <f>VLOOKUP(A27,Dataset!A22:T61,20,FALSE)</f>
        <v>188.1</v>
      </c>
      <c r="F27" s="8">
        <f>VLOOKUP(A27,Dataset!A22:V61,22,FALSE)</f>
        <v>93.1</v>
      </c>
    </row>
    <row r="28" spans="1:6" ht="15" x14ac:dyDescent="0.25">
      <c r="A28" s="19" t="s">
        <v>82</v>
      </c>
      <c r="B28" s="31">
        <f ca="1">MIN($B$6:$B$28)</f>
        <v>0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5" zoomScaleNormal="100" workbookViewId="0">
      <selection activeCell="A16" sqref="A16:A5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5" zoomScaleNormal="100" workbookViewId="0">
      <selection activeCell="F34" sqref="F3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177</v>
      </c>
    </row>
    <row r="7" spans="1:3" ht="15" x14ac:dyDescent="0.25">
      <c r="A7" s="3" t="s">
        <v>153</v>
      </c>
      <c r="B7" s="1" t="s">
        <v>178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>
        <f>SUMIFS(C12:C21,C12:C21,"&lt;&gt;#N/A")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25" sqref="C2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 t="s">
        <v>99</v>
      </c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D22" s="2" t="s">
        <v>179</v>
      </c>
    </row>
    <row r="23" spans="1:14" ht="15" x14ac:dyDescent="0.25">
      <c r="A23" s="7">
        <v>10100</v>
      </c>
      <c r="B23" s="12">
        <v>10102</v>
      </c>
      <c r="C23" s="44">
        <v>95</v>
      </c>
      <c r="D23" s="2" t="str">
        <f>VLOOKUP(A23,M9:N18,2,FALSE)</f>
        <v>A</v>
      </c>
    </row>
    <row r="24" spans="1:14" ht="15" x14ac:dyDescent="0.25">
      <c r="A24" s="7">
        <v>10100</v>
      </c>
      <c r="B24" s="12">
        <v>10104</v>
      </c>
      <c r="C24" s="44">
        <v>-1</v>
      </c>
    </row>
    <row r="25" spans="1:14" ht="15" x14ac:dyDescent="0.25">
      <c r="A25" s="7">
        <v>10108</v>
      </c>
      <c r="B25" s="12">
        <v>10102</v>
      </c>
      <c r="C25" s="44">
        <v>160</v>
      </c>
    </row>
    <row r="26" spans="1:14" ht="15" x14ac:dyDescent="0.25">
      <c r="A26" s="7">
        <v>10100</v>
      </c>
      <c r="B26" s="12">
        <v>10106</v>
      </c>
      <c r="C26" s="44">
        <v>185</v>
      </c>
    </row>
    <row r="27" spans="1:14" ht="15" x14ac:dyDescent="0.25">
      <c r="A27" s="7">
        <v>10108</v>
      </c>
      <c r="B27" s="12">
        <v>10110</v>
      </c>
      <c r="C27" s="44">
        <v>50</v>
      </c>
    </row>
    <row r="28" spans="1:14" ht="15" x14ac:dyDescent="0.25">
      <c r="A28" s="7">
        <v>10102</v>
      </c>
      <c r="B28" s="12">
        <v>10104</v>
      </c>
      <c r="C28" s="44">
        <v>-1</v>
      </c>
    </row>
    <row r="29" spans="1:14" ht="15" x14ac:dyDescent="0.25">
      <c r="A29" s="7">
        <v>10106</v>
      </c>
      <c r="B29" s="12">
        <v>10108</v>
      </c>
      <c r="C29" s="44">
        <v>70</v>
      </c>
    </row>
    <row r="30" spans="1:14" ht="15" x14ac:dyDescent="0.25">
      <c r="A30" s="7">
        <v>10102</v>
      </c>
      <c r="B30" s="12">
        <v>10106</v>
      </c>
      <c r="C30" s="44">
        <v>90</v>
      </c>
    </row>
    <row r="31" spans="1:14" ht="15" x14ac:dyDescent="0.25">
      <c r="A31" s="7">
        <v>10110</v>
      </c>
      <c r="B31" s="12">
        <v>10114</v>
      </c>
      <c r="C31" s="44">
        <v>180</v>
      </c>
    </row>
    <row r="32" spans="1:14" ht="15" x14ac:dyDescent="0.25">
      <c r="A32" s="7">
        <v>10104</v>
      </c>
      <c r="B32" s="12">
        <v>10106</v>
      </c>
      <c r="C32" s="44">
        <v>60</v>
      </c>
    </row>
    <row r="33" spans="1:3" ht="15" x14ac:dyDescent="0.25">
      <c r="A33" s="7">
        <v>10110</v>
      </c>
      <c r="B33" s="12">
        <v>10112</v>
      </c>
      <c r="C33" s="44">
        <v>115</v>
      </c>
    </row>
    <row r="34" spans="1:3" ht="15" x14ac:dyDescent="0.25">
      <c r="A34" s="7">
        <v>10100</v>
      </c>
      <c r="B34" s="12">
        <v>10114</v>
      </c>
      <c r="C34" s="44">
        <v>480</v>
      </c>
    </row>
    <row r="35" spans="1:3" ht="15" x14ac:dyDescent="0.25">
      <c r="A35" s="9">
        <v>10112</v>
      </c>
      <c r="B35" s="13">
        <v>10116</v>
      </c>
      <c r="C35" s="45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Windows User</cp:lastModifiedBy>
  <dcterms:created xsi:type="dcterms:W3CDTF">2015-02-10T17:33:11Z</dcterms:created>
  <dcterms:modified xsi:type="dcterms:W3CDTF">2023-12-10T16:54:12Z</dcterms:modified>
</cp:coreProperties>
</file>